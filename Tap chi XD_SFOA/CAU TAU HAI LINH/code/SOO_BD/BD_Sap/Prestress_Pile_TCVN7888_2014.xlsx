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n\MOSFOA_BD\BD_Sap\"/>
    </mc:Choice>
  </mc:AlternateContent>
  <xr:revisionPtr revIDLastSave="0" documentId="13_ncr:1_{5E84CAC4-6441-4A1D-B754-DD7782558BB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1" i="1"/>
  <c r="G32" i="1"/>
  <c r="G28" i="1"/>
  <c r="G30" i="1"/>
  <c r="G26" i="1"/>
  <c r="G22" i="1"/>
  <c r="G18" i="1"/>
  <c r="G14" i="1"/>
  <c r="G10" i="1"/>
  <c r="G6" i="1"/>
  <c r="G2" i="1"/>
</calcChain>
</file>

<file path=xl/sharedStrings.xml><?xml version="1.0" encoding="utf-8"?>
<sst xmlns="http://schemas.openxmlformats.org/spreadsheetml/2006/main" count="92" uniqueCount="19">
  <si>
    <t>A</t>
  </si>
  <si>
    <t>B</t>
  </si>
  <si>
    <t>C</t>
  </si>
  <si>
    <t>AB</t>
  </si>
  <si>
    <t>Đường kính (mm)</t>
  </si>
  <si>
    <t>Chiều dày thành dọc</t>
  </si>
  <si>
    <t>Loại</t>
  </si>
  <si>
    <t>Đơn giá (VNĐ/md)</t>
  </si>
  <si>
    <t>D300</t>
  </si>
  <si>
    <t>D350</t>
  </si>
  <si>
    <t>D400</t>
  </si>
  <si>
    <t>D450</t>
  </si>
  <si>
    <t>D500</t>
  </si>
  <si>
    <t>D600</t>
  </si>
  <si>
    <t>D700</t>
  </si>
  <si>
    <t>D800</t>
  </si>
  <si>
    <t>D900</t>
  </si>
  <si>
    <t>D1000</t>
  </si>
  <si>
    <t>D1200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</si>
</sst>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L25" sqref="L25"/>
    </sheetView>
  </sheetViews>
  <sheetFormatPr defaultRowHeight="15" x14ac:dyDescent="0.25"/>
  <cols>
    <col min="1" max="6" width="9.7109375" customWidth="1"/>
    <col min="7" max="7" width="35.5703125" customWidth="1"/>
    <col min="8" max="8" width="9.7109375" customWidth="1"/>
  </cols>
  <sheetData>
    <row r="1" spans="1:8" x14ac:dyDescent="0.25">
      <c r="A1">
        <v>300</v>
      </c>
      <c r="B1">
        <v>60</v>
      </c>
      <c r="C1">
        <v>1</v>
      </c>
      <c r="D1">
        <v>24.5</v>
      </c>
      <c r="E1">
        <v>4</v>
      </c>
      <c r="F1">
        <v>99.1</v>
      </c>
      <c r="G1" s="4">
        <v>198922</v>
      </c>
      <c r="H1" s="4">
        <f>G1/24500</f>
        <v>8.1192653061224487</v>
      </c>
    </row>
    <row r="2" spans="1:8" x14ac:dyDescent="0.25">
      <c r="A2">
        <v>300</v>
      </c>
      <c r="B2">
        <v>60</v>
      </c>
      <c r="C2">
        <v>2</v>
      </c>
      <c r="D2">
        <v>30</v>
      </c>
      <c r="E2">
        <v>6</v>
      </c>
      <c r="F2">
        <v>111</v>
      </c>
      <c r="G2" s="4">
        <f>AVERAGE(G1,G3)*1.05</f>
        <v>240198</v>
      </c>
      <c r="H2" s="4">
        <f t="shared" ref="H2:H44" si="0">G2/24500</f>
        <v>9.8040000000000003</v>
      </c>
    </row>
    <row r="3" spans="1:8" x14ac:dyDescent="0.25">
      <c r="A3">
        <v>300</v>
      </c>
      <c r="B3">
        <v>60</v>
      </c>
      <c r="C3">
        <v>3</v>
      </c>
      <c r="D3">
        <v>34.299999999999997</v>
      </c>
      <c r="E3">
        <v>8</v>
      </c>
      <c r="F3">
        <v>125.6</v>
      </c>
      <c r="G3" s="4">
        <v>258598</v>
      </c>
      <c r="H3" s="4">
        <f t="shared" si="0"/>
        <v>10.555020408163266</v>
      </c>
    </row>
    <row r="4" spans="1:8" x14ac:dyDescent="0.25">
      <c r="A4">
        <v>300</v>
      </c>
      <c r="B4">
        <v>60</v>
      </c>
      <c r="C4">
        <v>4</v>
      </c>
      <c r="D4">
        <v>39.200000000000003</v>
      </c>
      <c r="E4">
        <v>10</v>
      </c>
      <c r="F4">
        <v>136.4</v>
      </c>
      <c r="G4" s="4">
        <v>284458</v>
      </c>
      <c r="H4" s="4">
        <f t="shared" si="0"/>
        <v>11.610530612244897</v>
      </c>
    </row>
    <row r="5" spans="1:8" x14ac:dyDescent="0.25">
      <c r="A5">
        <v>350</v>
      </c>
      <c r="B5">
        <v>60</v>
      </c>
      <c r="C5">
        <v>1</v>
      </c>
      <c r="D5">
        <v>34.299999999999997</v>
      </c>
      <c r="E5">
        <v>4</v>
      </c>
      <c r="F5">
        <v>118.7</v>
      </c>
      <c r="G5" s="4">
        <v>245954</v>
      </c>
      <c r="H5" s="4">
        <f t="shared" si="0"/>
        <v>10.038938775510204</v>
      </c>
    </row>
    <row r="6" spans="1:8" x14ac:dyDescent="0.25">
      <c r="A6">
        <v>350</v>
      </c>
      <c r="B6">
        <v>60</v>
      </c>
      <c r="C6">
        <v>3</v>
      </c>
      <c r="D6">
        <v>49</v>
      </c>
      <c r="E6">
        <v>8</v>
      </c>
      <c r="F6">
        <v>150.1</v>
      </c>
      <c r="G6" s="4">
        <f>AVERAGE(G5,G7)*1.05</f>
        <v>296989.35000000003</v>
      </c>
      <c r="H6" s="4">
        <f t="shared" si="0"/>
        <v>12.122014285714288</v>
      </c>
    </row>
    <row r="7" spans="1:8" x14ac:dyDescent="0.25">
      <c r="A7">
        <v>350</v>
      </c>
      <c r="B7">
        <v>60</v>
      </c>
      <c r="C7">
        <v>4</v>
      </c>
      <c r="D7">
        <v>58.9</v>
      </c>
      <c r="E7">
        <v>10</v>
      </c>
      <c r="F7">
        <v>162.80000000000001</v>
      </c>
      <c r="G7" s="4">
        <v>319740</v>
      </c>
      <c r="H7" s="4">
        <f t="shared" si="0"/>
        <v>13.050612244897959</v>
      </c>
    </row>
    <row r="8" spans="1:8" x14ac:dyDescent="0.25">
      <c r="A8">
        <v>400</v>
      </c>
      <c r="B8">
        <v>65</v>
      </c>
      <c r="C8">
        <v>1</v>
      </c>
      <c r="D8">
        <v>54</v>
      </c>
      <c r="E8">
        <v>4</v>
      </c>
      <c r="F8">
        <v>148.1</v>
      </c>
      <c r="G8" s="4">
        <v>351714</v>
      </c>
      <c r="H8" s="4">
        <f t="shared" si="0"/>
        <v>14.355673469387755</v>
      </c>
    </row>
    <row r="9" spans="1:8" x14ac:dyDescent="0.25">
      <c r="A9">
        <v>400</v>
      </c>
      <c r="B9">
        <v>65</v>
      </c>
      <c r="C9">
        <v>2</v>
      </c>
      <c r="D9">
        <v>64</v>
      </c>
      <c r="E9">
        <v>6</v>
      </c>
      <c r="F9">
        <v>176</v>
      </c>
      <c r="G9" s="4">
        <v>322597</v>
      </c>
      <c r="H9" s="4">
        <f t="shared" si="0"/>
        <v>13.167224489795919</v>
      </c>
    </row>
    <row r="10" spans="1:8" x14ac:dyDescent="0.25">
      <c r="A10">
        <v>400</v>
      </c>
      <c r="B10">
        <v>65</v>
      </c>
      <c r="C10">
        <v>3</v>
      </c>
      <c r="D10">
        <v>73.599999999999994</v>
      </c>
      <c r="E10">
        <v>8</v>
      </c>
      <c r="F10">
        <v>187.4</v>
      </c>
      <c r="G10" s="4">
        <f>AVERAGE(G9,G11)*1.05</f>
        <v>389535.82500000001</v>
      </c>
      <c r="H10" s="4">
        <f t="shared" si="0"/>
        <v>15.899421428571429</v>
      </c>
    </row>
    <row r="11" spans="1:8" x14ac:dyDescent="0.25">
      <c r="A11">
        <v>400</v>
      </c>
      <c r="B11">
        <v>65</v>
      </c>
      <c r="C11">
        <v>4</v>
      </c>
      <c r="D11">
        <v>88.3</v>
      </c>
      <c r="E11">
        <v>10</v>
      </c>
      <c r="F11">
        <v>204</v>
      </c>
      <c r="G11" s="4">
        <v>419376</v>
      </c>
      <c r="H11" s="4">
        <f t="shared" si="0"/>
        <v>17.11738775510204</v>
      </c>
    </row>
    <row r="12" spans="1:8" x14ac:dyDescent="0.25">
      <c r="A12">
        <v>450</v>
      </c>
      <c r="B12">
        <v>70</v>
      </c>
      <c r="C12">
        <v>1</v>
      </c>
      <c r="D12">
        <v>73.599999999999994</v>
      </c>
      <c r="E12">
        <v>4</v>
      </c>
      <c r="F12">
        <v>180.5</v>
      </c>
      <c r="G12" s="4">
        <v>461314</v>
      </c>
      <c r="H12" s="4">
        <f t="shared" si="0"/>
        <v>18.829142857142855</v>
      </c>
    </row>
    <row r="13" spans="1:8" x14ac:dyDescent="0.25">
      <c r="A13">
        <v>450</v>
      </c>
      <c r="B13">
        <v>70</v>
      </c>
      <c r="C13">
        <v>3</v>
      </c>
      <c r="D13">
        <v>107.9</v>
      </c>
      <c r="E13">
        <v>8</v>
      </c>
      <c r="F13">
        <v>227.6</v>
      </c>
      <c r="G13" s="4">
        <v>412115</v>
      </c>
      <c r="H13" s="4">
        <f t="shared" si="0"/>
        <v>16.821020408163264</v>
      </c>
    </row>
    <row r="14" spans="1:8" x14ac:dyDescent="0.25">
      <c r="A14">
        <v>450</v>
      </c>
      <c r="B14">
        <v>70</v>
      </c>
      <c r="C14">
        <v>4</v>
      </c>
      <c r="D14">
        <v>122.6</v>
      </c>
      <c r="E14">
        <v>10</v>
      </c>
      <c r="F14">
        <v>248.2</v>
      </c>
      <c r="G14" s="4">
        <f>AVERAGE(G13,G15)*1.05</f>
        <v>497628.60000000003</v>
      </c>
      <c r="H14" s="4">
        <f t="shared" si="0"/>
        <v>20.31137142857143</v>
      </c>
    </row>
    <row r="15" spans="1:8" x14ac:dyDescent="0.25">
      <c r="A15">
        <v>500</v>
      </c>
      <c r="B15">
        <v>80</v>
      </c>
      <c r="C15">
        <v>1</v>
      </c>
      <c r="D15">
        <v>103</v>
      </c>
      <c r="E15">
        <v>4</v>
      </c>
      <c r="F15">
        <v>228.6</v>
      </c>
      <c r="G15" s="4">
        <v>535749</v>
      </c>
      <c r="H15" s="4">
        <f t="shared" si="0"/>
        <v>21.86730612244898</v>
      </c>
    </row>
    <row r="16" spans="1:8" x14ac:dyDescent="0.25">
      <c r="A16">
        <v>500</v>
      </c>
      <c r="B16">
        <v>80</v>
      </c>
      <c r="C16">
        <v>2</v>
      </c>
      <c r="D16">
        <v>125</v>
      </c>
      <c r="E16">
        <v>6</v>
      </c>
      <c r="F16">
        <v>271</v>
      </c>
      <c r="G16" s="4">
        <v>589324</v>
      </c>
      <c r="H16" s="4">
        <f t="shared" si="0"/>
        <v>24.05404081632653</v>
      </c>
    </row>
    <row r="17" spans="1:8" x14ac:dyDescent="0.25">
      <c r="A17">
        <v>500</v>
      </c>
      <c r="B17">
        <v>80</v>
      </c>
      <c r="C17">
        <v>3</v>
      </c>
      <c r="D17">
        <v>147.19999999999999</v>
      </c>
      <c r="E17">
        <v>8</v>
      </c>
      <c r="F17">
        <v>288.39999999999998</v>
      </c>
      <c r="G17" s="4">
        <v>476993</v>
      </c>
      <c r="H17" s="4">
        <f t="shared" si="0"/>
        <v>19.469102040816328</v>
      </c>
    </row>
    <row r="18" spans="1:8" x14ac:dyDescent="0.25">
      <c r="A18">
        <v>500</v>
      </c>
      <c r="B18">
        <v>80</v>
      </c>
      <c r="C18">
        <v>4</v>
      </c>
      <c r="D18">
        <v>166.8</v>
      </c>
      <c r="E18">
        <v>10</v>
      </c>
      <c r="F18">
        <v>313.89999999999998</v>
      </c>
      <c r="G18" s="4">
        <f>AVERAGE(G17,G19)*1.05</f>
        <v>601011.07500000007</v>
      </c>
      <c r="H18" s="4">
        <f t="shared" si="0"/>
        <v>24.53106428571429</v>
      </c>
    </row>
    <row r="19" spans="1:8" x14ac:dyDescent="0.25">
      <c r="A19">
        <v>600</v>
      </c>
      <c r="B19">
        <v>90</v>
      </c>
      <c r="C19">
        <v>1</v>
      </c>
      <c r="D19">
        <v>166.8</v>
      </c>
      <c r="E19">
        <v>4</v>
      </c>
      <c r="F19">
        <v>311</v>
      </c>
      <c r="G19" s="4">
        <v>667790</v>
      </c>
      <c r="H19" s="4">
        <f t="shared" si="0"/>
        <v>27.256734693877551</v>
      </c>
    </row>
    <row r="20" spans="1:8" x14ac:dyDescent="0.25">
      <c r="A20">
        <v>600</v>
      </c>
      <c r="B20">
        <v>90</v>
      </c>
      <c r="C20">
        <v>2</v>
      </c>
      <c r="D20">
        <v>206</v>
      </c>
      <c r="E20">
        <v>6</v>
      </c>
      <c r="F20">
        <v>362</v>
      </c>
      <c r="G20" s="4">
        <v>734569</v>
      </c>
      <c r="H20" s="4">
        <f t="shared" si="0"/>
        <v>29.982408163265305</v>
      </c>
    </row>
    <row r="21" spans="1:8" x14ac:dyDescent="0.25">
      <c r="A21">
        <v>600</v>
      </c>
      <c r="B21">
        <v>90</v>
      </c>
      <c r="C21">
        <v>3</v>
      </c>
      <c r="D21">
        <v>245.2</v>
      </c>
      <c r="E21">
        <v>8</v>
      </c>
      <c r="F21">
        <v>392.4</v>
      </c>
      <c r="G21" s="4">
        <v>631629</v>
      </c>
      <c r="H21" s="4">
        <f t="shared" si="0"/>
        <v>25.78077551020408</v>
      </c>
    </row>
    <row r="22" spans="1:8" x14ac:dyDescent="0.25">
      <c r="A22">
        <v>600</v>
      </c>
      <c r="B22">
        <v>90</v>
      </c>
      <c r="C22">
        <v>4</v>
      </c>
      <c r="D22">
        <v>284.5</v>
      </c>
      <c r="E22">
        <v>10</v>
      </c>
      <c r="F22">
        <v>427.7</v>
      </c>
      <c r="G22" s="4">
        <f>AVERAGE(G21,G23)*1.05</f>
        <v>812432.77500000002</v>
      </c>
      <c r="H22" s="4">
        <f t="shared" si="0"/>
        <v>33.160521428571428</v>
      </c>
    </row>
    <row r="23" spans="1:8" x14ac:dyDescent="0.25">
      <c r="A23">
        <v>700</v>
      </c>
      <c r="B23">
        <v>100</v>
      </c>
      <c r="C23">
        <v>1</v>
      </c>
      <c r="D23">
        <v>264.89999999999998</v>
      </c>
      <c r="E23">
        <v>4</v>
      </c>
      <c r="F23">
        <v>406.1</v>
      </c>
      <c r="G23" s="4">
        <v>915862</v>
      </c>
      <c r="H23" s="4">
        <f t="shared" si="0"/>
        <v>37.382122448979594</v>
      </c>
    </row>
    <row r="24" spans="1:8" x14ac:dyDescent="0.25">
      <c r="A24">
        <v>700</v>
      </c>
      <c r="B24">
        <v>100</v>
      </c>
      <c r="C24">
        <v>2</v>
      </c>
      <c r="D24">
        <v>319</v>
      </c>
      <c r="E24">
        <v>6</v>
      </c>
      <c r="F24">
        <v>437</v>
      </c>
      <c r="G24" s="4">
        <v>1000862</v>
      </c>
      <c r="H24" s="4">
        <f t="shared" si="0"/>
        <v>40.851510204081634</v>
      </c>
    </row>
    <row r="25" spans="1:8" x14ac:dyDescent="0.25">
      <c r="A25">
        <v>700</v>
      </c>
      <c r="B25">
        <v>100</v>
      </c>
      <c r="C25">
        <v>3</v>
      </c>
      <c r="D25">
        <v>372.8</v>
      </c>
      <c r="E25">
        <v>8</v>
      </c>
      <c r="F25">
        <v>512.1</v>
      </c>
      <c r="G25" s="4">
        <v>1100000</v>
      </c>
      <c r="H25" s="4">
        <f t="shared" si="0"/>
        <v>44.897959183673471</v>
      </c>
    </row>
    <row r="26" spans="1:8" x14ac:dyDescent="0.25">
      <c r="A26">
        <v>700</v>
      </c>
      <c r="B26">
        <v>100</v>
      </c>
      <c r="C26">
        <v>4</v>
      </c>
      <c r="D26">
        <v>441.4</v>
      </c>
      <c r="E26">
        <v>10</v>
      </c>
      <c r="F26">
        <v>557.20000000000005</v>
      </c>
      <c r="G26" s="4">
        <f>AVERAGE(G25,G27)*1.05</f>
        <v>1365000</v>
      </c>
      <c r="H26" s="4">
        <f t="shared" si="0"/>
        <v>55.714285714285715</v>
      </c>
    </row>
    <row r="27" spans="1:8" x14ac:dyDescent="0.25">
      <c r="A27">
        <v>800</v>
      </c>
      <c r="B27">
        <v>110</v>
      </c>
      <c r="C27">
        <v>1</v>
      </c>
      <c r="D27">
        <v>392.4</v>
      </c>
      <c r="E27">
        <v>4</v>
      </c>
      <c r="F27">
        <v>512.1</v>
      </c>
      <c r="G27" s="4">
        <v>1500000</v>
      </c>
      <c r="H27" s="4">
        <f t="shared" si="0"/>
        <v>61.224489795918366</v>
      </c>
    </row>
    <row r="28" spans="1:8" x14ac:dyDescent="0.25">
      <c r="A28">
        <v>800</v>
      </c>
      <c r="B28">
        <v>110</v>
      </c>
      <c r="C28">
        <v>2</v>
      </c>
      <c r="D28">
        <v>471</v>
      </c>
      <c r="E28">
        <v>6</v>
      </c>
      <c r="F28">
        <v>595</v>
      </c>
      <c r="G28" s="4">
        <f>AVERAGE(G27,G29)</f>
        <v>1550000</v>
      </c>
      <c r="H28" s="4">
        <f t="shared" si="0"/>
        <v>63.265306122448976</v>
      </c>
    </row>
    <row r="29" spans="1:8" x14ac:dyDescent="0.25">
      <c r="A29">
        <v>800</v>
      </c>
      <c r="B29">
        <v>110</v>
      </c>
      <c r="C29">
        <v>3</v>
      </c>
      <c r="D29">
        <v>539.6</v>
      </c>
      <c r="E29">
        <v>8</v>
      </c>
      <c r="F29">
        <v>646.5</v>
      </c>
      <c r="G29" s="4">
        <v>1600000</v>
      </c>
      <c r="H29" s="4">
        <f t="shared" si="0"/>
        <v>65.306122448979593</v>
      </c>
    </row>
    <row r="30" spans="1:8" x14ac:dyDescent="0.25">
      <c r="A30">
        <v>800</v>
      </c>
      <c r="B30">
        <v>110</v>
      </c>
      <c r="C30">
        <v>4</v>
      </c>
      <c r="D30">
        <v>637.6</v>
      </c>
      <c r="E30">
        <v>10</v>
      </c>
      <c r="F30">
        <v>704.4</v>
      </c>
      <c r="G30" s="4">
        <f>AVERAGE(G29,G31)*1.05</f>
        <v>1890000</v>
      </c>
      <c r="H30" s="4">
        <f t="shared" si="0"/>
        <v>77.142857142857139</v>
      </c>
    </row>
    <row r="31" spans="1:8" x14ac:dyDescent="0.25">
      <c r="A31">
        <v>900</v>
      </c>
      <c r="B31">
        <v>120</v>
      </c>
      <c r="C31">
        <v>1</v>
      </c>
      <c r="D31">
        <v>539.6</v>
      </c>
      <c r="E31">
        <v>4</v>
      </c>
      <c r="F31">
        <v>631</v>
      </c>
      <c r="G31" s="4">
        <v>2000000</v>
      </c>
      <c r="H31" s="4">
        <f t="shared" si="0"/>
        <v>81.632653061224488</v>
      </c>
    </row>
    <row r="32" spans="1:8" x14ac:dyDescent="0.25">
      <c r="A32">
        <v>900</v>
      </c>
      <c r="B32">
        <v>120</v>
      </c>
      <c r="C32">
        <v>3</v>
      </c>
      <c r="D32">
        <v>735.8</v>
      </c>
      <c r="E32">
        <v>8</v>
      </c>
      <c r="F32">
        <v>797</v>
      </c>
      <c r="G32" s="4">
        <f>AVERAGE(G31,G33)</f>
        <v>2100000</v>
      </c>
      <c r="H32" s="4">
        <f t="shared" si="0"/>
        <v>85.714285714285708</v>
      </c>
    </row>
    <row r="33" spans="1:8" x14ac:dyDescent="0.25">
      <c r="A33">
        <v>900</v>
      </c>
      <c r="B33">
        <v>120</v>
      </c>
      <c r="C33">
        <v>4</v>
      </c>
      <c r="D33">
        <v>833.8</v>
      </c>
      <c r="E33">
        <v>10</v>
      </c>
      <c r="F33">
        <v>867</v>
      </c>
      <c r="G33" s="4">
        <v>2200000</v>
      </c>
      <c r="H33" s="4">
        <f t="shared" si="0"/>
        <v>89.795918367346943</v>
      </c>
    </row>
    <row r="34" spans="1:8" x14ac:dyDescent="0.25">
      <c r="A34">
        <v>1000</v>
      </c>
      <c r="B34">
        <v>130</v>
      </c>
      <c r="C34">
        <v>1</v>
      </c>
      <c r="D34">
        <v>735.8</v>
      </c>
      <c r="E34">
        <v>4</v>
      </c>
      <c r="F34">
        <v>762.2</v>
      </c>
      <c r="G34" s="4">
        <v>2300000</v>
      </c>
      <c r="H34" s="4">
        <f t="shared" si="0"/>
        <v>93.877551020408163</v>
      </c>
    </row>
    <row r="35" spans="1:8" x14ac:dyDescent="0.25">
      <c r="A35">
        <v>1000</v>
      </c>
      <c r="B35">
        <v>130</v>
      </c>
      <c r="C35">
        <v>2</v>
      </c>
      <c r="D35">
        <v>883</v>
      </c>
      <c r="E35">
        <v>6</v>
      </c>
      <c r="F35">
        <v>774</v>
      </c>
      <c r="G35" s="4">
        <v>2350000</v>
      </c>
      <c r="H35" s="4">
        <f t="shared" si="0"/>
        <v>95.91836734693878</v>
      </c>
    </row>
    <row r="36" spans="1:8" x14ac:dyDescent="0.25">
      <c r="A36">
        <v>1000</v>
      </c>
      <c r="B36">
        <v>130</v>
      </c>
      <c r="C36">
        <v>3</v>
      </c>
      <c r="D36">
        <v>1030</v>
      </c>
      <c r="E36">
        <v>8</v>
      </c>
      <c r="F36">
        <v>961.4</v>
      </c>
      <c r="G36" s="4">
        <v>2400000</v>
      </c>
      <c r="H36" s="4">
        <f t="shared" si="0"/>
        <v>97.959183673469383</v>
      </c>
    </row>
    <row r="37" spans="1:8" x14ac:dyDescent="0.25">
      <c r="A37">
        <v>1000</v>
      </c>
      <c r="B37">
        <v>130</v>
      </c>
      <c r="C37">
        <v>4</v>
      </c>
      <c r="D37">
        <v>1177</v>
      </c>
      <c r="E37">
        <v>10</v>
      </c>
      <c r="F37">
        <v>1047</v>
      </c>
      <c r="G37" s="4">
        <v>2500000</v>
      </c>
      <c r="H37" s="4">
        <f t="shared" si="0"/>
        <v>102.04081632653062</v>
      </c>
    </row>
    <row r="38" spans="1:8" x14ac:dyDescent="0.25">
      <c r="A38">
        <v>1100</v>
      </c>
      <c r="B38">
        <v>140</v>
      </c>
      <c r="C38">
        <v>1</v>
      </c>
      <c r="D38">
        <v>932</v>
      </c>
      <c r="E38">
        <v>4</v>
      </c>
      <c r="F38">
        <v>905</v>
      </c>
      <c r="G38" s="4">
        <v>2600000</v>
      </c>
      <c r="H38" s="4">
        <f t="shared" si="0"/>
        <v>106.12244897959184</v>
      </c>
    </row>
    <row r="39" spans="1:8" x14ac:dyDescent="0.25">
      <c r="A39">
        <v>1100</v>
      </c>
      <c r="B39">
        <v>140</v>
      </c>
      <c r="C39">
        <v>3</v>
      </c>
      <c r="D39">
        <v>1324</v>
      </c>
      <c r="E39">
        <v>8</v>
      </c>
      <c r="F39">
        <v>1142</v>
      </c>
      <c r="G39" s="4">
        <v>2650000</v>
      </c>
      <c r="H39" s="4">
        <f t="shared" si="0"/>
        <v>108.16326530612245</v>
      </c>
    </row>
    <row r="40" spans="1:8" x14ac:dyDescent="0.25">
      <c r="A40">
        <v>1100</v>
      </c>
      <c r="B40">
        <v>140</v>
      </c>
      <c r="C40">
        <v>4</v>
      </c>
      <c r="D40">
        <v>1521</v>
      </c>
      <c r="E40">
        <v>10</v>
      </c>
      <c r="F40">
        <v>1244</v>
      </c>
      <c r="G40" s="4">
        <v>2700000</v>
      </c>
      <c r="H40" s="4">
        <f t="shared" si="0"/>
        <v>110.20408163265306</v>
      </c>
    </row>
    <row r="41" spans="1:8" x14ac:dyDescent="0.25">
      <c r="A41">
        <v>1200</v>
      </c>
      <c r="B41">
        <v>150</v>
      </c>
      <c r="C41">
        <v>1</v>
      </c>
      <c r="D41">
        <v>1177</v>
      </c>
      <c r="E41">
        <v>4</v>
      </c>
      <c r="F41">
        <v>1059</v>
      </c>
      <c r="G41" s="4">
        <v>2800000</v>
      </c>
      <c r="H41" s="4">
        <f t="shared" si="0"/>
        <v>114.28571428571429</v>
      </c>
    </row>
    <row r="42" spans="1:8" x14ac:dyDescent="0.25">
      <c r="A42">
        <v>1200</v>
      </c>
      <c r="B42">
        <v>150</v>
      </c>
      <c r="C42">
        <v>2</v>
      </c>
      <c r="D42">
        <v>1412</v>
      </c>
      <c r="E42">
        <v>6</v>
      </c>
      <c r="F42">
        <v>1292</v>
      </c>
      <c r="G42" s="4">
        <v>2900000</v>
      </c>
      <c r="H42" s="4">
        <f t="shared" si="0"/>
        <v>118.36734693877551</v>
      </c>
    </row>
    <row r="43" spans="1:8" x14ac:dyDescent="0.25">
      <c r="A43">
        <v>1200</v>
      </c>
      <c r="B43">
        <v>150</v>
      </c>
      <c r="C43">
        <v>3</v>
      </c>
      <c r="D43">
        <v>1668</v>
      </c>
      <c r="E43">
        <v>8</v>
      </c>
      <c r="F43">
        <v>1337</v>
      </c>
      <c r="G43" s="4">
        <v>2950000</v>
      </c>
      <c r="H43" s="4">
        <f t="shared" si="0"/>
        <v>120.40816326530613</v>
      </c>
    </row>
    <row r="44" spans="1:8" x14ac:dyDescent="0.25">
      <c r="A44">
        <v>1200</v>
      </c>
      <c r="B44">
        <v>150</v>
      </c>
      <c r="C44">
        <v>4</v>
      </c>
      <c r="D44">
        <v>1962</v>
      </c>
      <c r="E44">
        <v>10</v>
      </c>
      <c r="F44">
        <v>1457</v>
      </c>
      <c r="G44" s="4">
        <v>3000000</v>
      </c>
      <c r="H44" s="4">
        <f t="shared" si="0"/>
        <v>122.44897959183673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BC57-FF80-44F6-A5A5-7FFC38EEF315}">
  <dimension ref="A1:D45"/>
  <sheetViews>
    <sheetView zoomScaleNormal="100" workbookViewId="0">
      <selection activeCell="D45" sqref="A1:D45"/>
    </sheetView>
  </sheetViews>
  <sheetFormatPr defaultRowHeight="15" x14ac:dyDescent="0.25"/>
  <cols>
    <col min="1" max="1" width="17.28515625" bestFit="1" customWidth="1"/>
    <col min="2" max="2" width="19.140625" bestFit="1" customWidth="1"/>
    <col min="3" max="3" width="4.5703125" bestFit="1" customWidth="1"/>
    <col min="4" max="4" width="18" bestFit="1" customWidth="1"/>
  </cols>
  <sheetData>
    <row r="1" spans="1:4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s="3" t="s">
        <v>8</v>
      </c>
      <c r="B2" s="2">
        <v>60</v>
      </c>
      <c r="C2" s="2" t="s">
        <v>0</v>
      </c>
      <c r="D2" s="2">
        <v>198922</v>
      </c>
    </row>
    <row r="3" spans="1:4" x14ac:dyDescent="0.25">
      <c r="A3" s="3" t="s">
        <v>8</v>
      </c>
      <c r="B3" s="2">
        <v>60</v>
      </c>
      <c r="C3" s="2" t="s">
        <v>3</v>
      </c>
      <c r="D3" s="2">
        <v>27185</v>
      </c>
    </row>
    <row r="4" spans="1:4" x14ac:dyDescent="0.25">
      <c r="A4" s="3" t="s">
        <v>8</v>
      </c>
      <c r="B4" s="2">
        <v>60</v>
      </c>
      <c r="C4" s="2" t="s">
        <v>1</v>
      </c>
      <c r="D4" s="2">
        <v>258598</v>
      </c>
    </row>
    <row r="5" spans="1:4" x14ac:dyDescent="0.25">
      <c r="A5" s="3" t="s">
        <v>8</v>
      </c>
      <c r="B5" s="2">
        <v>60</v>
      </c>
      <c r="C5" s="2" t="s">
        <v>2</v>
      </c>
      <c r="D5" s="2">
        <v>284458</v>
      </c>
    </row>
    <row r="6" spans="1:4" x14ac:dyDescent="0.25">
      <c r="A6" s="3" t="s">
        <v>9</v>
      </c>
      <c r="B6" s="2">
        <v>65</v>
      </c>
      <c r="C6" s="2" t="s">
        <v>0</v>
      </c>
      <c r="D6" s="2">
        <v>245954</v>
      </c>
    </row>
    <row r="7" spans="1:4" x14ac:dyDescent="0.25">
      <c r="A7" s="3" t="s">
        <v>9</v>
      </c>
      <c r="B7" s="2">
        <v>65</v>
      </c>
      <c r="C7" s="2" t="s">
        <v>3</v>
      </c>
      <c r="D7" s="2">
        <v>338825</v>
      </c>
    </row>
    <row r="8" spans="1:4" x14ac:dyDescent="0.25">
      <c r="A8" s="3" t="s">
        <v>9</v>
      </c>
      <c r="B8" s="2">
        <v>65</v>
      </c>
      <c r="C8" s="2" t="s">
        <v>1</v>
      </c>
      <c r="D8" s="2">
        <v>31974</v>
      </c>
    </row>
    <row r="9" spans="1:4" x14ac:dyDescent="0.25">
      <c r="A9" s="3" t="s">
        <v>9</v>
      </c>
      <c r="B9" s="2">
        <v>65</v>
      </c>
      <c r="C9" s="2" t="s">
        <v>2</v>
      </c>
      <c r="D9" s="2">
        <v>351714</v>
      </c>
    </row>
    <row r="10" spans="1:4" x14ac:dyDescent="0.25">
      <c r="A10" s="3" t="s">
        <v>10</v>
      </c>
      <c r="B10" s="2">
        <v>85</v>
      </c>
      <c r="C10" s="2" t="s">
        <v>0</v>
      </c>
      <c r="D10" s="2">
        <v>322597</v>
      </c>
    </row>
    <row r="11" spans="1:4" x14ac:dyDescent="0.25">
      <c r="A11" s="3" t="s">
        <v>10</v>
      </c>
      <c r="B11" s="2">
        <v>85</v>
      </c>
      <c r="C11" s="2" t="s">
        <v>3</v>
      </c>
      <c r="D11" s="2">
        <v>448807</v>
      </c>
    </row>
    <row r="12" spans="1:4" x14ac:dyDescent="0.25">
      <c r="A12" s="3" t="s">
        <v>10</v>
      </c>
      <c r="B12" s="2">
        <v>85</v>
      </c>
      <c r="C12" s="2" t="s">
        <v>1</v>
      </c>
      <c r="D12" s="2">
        <v>419376</v>
      </c>
    </row>
    <row r="13" spans="1:4" x14ac:dyDescent="0.25">
      <c r="A13" s="3" t="s">
        <v>10</v>
      </c>
      <c r="B13" s="2">
        <v>85</v>
      </c>
      <c r="C13" s="2" t="s">
        <v>2</v>
      </c>
      <c r="D13" s="2">
        <v>461314</v>
      </c>
    </row>
    <row r="14" spans="1:4" x14ac:dyDescent="0.25">
      <c r="A14" s="3" t="s">
        <v>11</v>
      </c>
      <c r="B14" s="2">
        <v>100</v>
      </c>
      <c r="C14" s="2" t="s">
        <v>0</v>
      </c>
      <c r="D14" s="2">
        <v>412115</v>
      </c>
    </row>
    <row r="15" spans="1:4" x14ac:dyDescent="0.25">
      <c r="A15" s="3" t="s">
        <v>11</v>
      </c>
      <c r="B15" s="2">
        <v>100</v>
      </c>
      <c r="C15" s="2" t="s">
        <v>3</v>
      </c>
      <c r="D15" s="2">
        <v>576327</v>
      </c>
    </row>
    <row r="16" spans="1:4" x14ac:dyDescent="0.25">
      <c r="A16" s="3" t="s">
        <v>11</v>
      </c>
      <c r="B16" s="2">
        <v>100</v>
      </c>
      <c r="C16" s="2" t="s">
        <v>1</v>
      </c>
      <c r="D16" s="2">
        <v>535749</v>
      </c>
    </row>
    <row r="17" spans="1:4" x14ac:dyDescent="0.25">
      <c r="A17" s="3" t="s">
        <v>11</v>
      </c>
      <c r="B17" s="2">
        <v>100</v>
      </c>
      <c r="C17" s="2" t="s">
        <v>2</v>
      </c>
      <c r="D17" s="2">
        <v>589324</v>
      </c>
    </row>
    <row r="18" spans="1:4" x14ac:dyDescent="0.25">
      <c r="A18" s="3" t="s">
        <v>12</v>
      </c>
      <c r="B18" s="2">
        <v>100</v>
      </c>
      <c r="C18" s="2" t="s">
        <v>0</v>
      </c>
      <c r="D18" s="2">
        <v>476993</v>
      </c>
    </row>
    <row r="19" spans="1:4" x14ac:dyDescent="0.25">
      <c r="A19" s="3" t="s">
        <v>12</v>
      </c>
      <c r="B19" s="2">
        <v>100</v>
      </c>
      <c r="C19" s="2" t="s">
        <v>3</v>
      </c>
      <c r="D19" s="2">
        <v>72161</v>
      </c>
    </row>
    <row r="20" spans="1:4" x14ac:dyDescent="0.25">
      <c r="A20" s="3" t="s">
        <v>12</v>
      </c>
      <c r="B20" s="2">
        <v>100</v>
      </c>
      <c r="C20" s="2" t="s">
        <v>1</v>
      </c>
      <c r="D20" s="2">
        <v>66779</v>
      </c>
    </row>
    <row r="21" spans="1:4" x14ac:dyDescent="0.25">
      <c r="A21" s="3" t="s">
        <v>12</v>
      </c>
      <c r="B21" s="2">
        <v>100</v>
      </c>
      <c r="C21" s="2" t="s">
        <v>2</v>
      </c>
      <c r="D21" s="2">
        <v>734569</v>
      </c>
    </row>
    <row r="22" spans="1:4" x14ac:dyDescent="0.25">
      <c r="A22" s="3" t="s">
        <v>13</v>
      </c>
      <c r="B22" s="2">
        <v>110</v>
      </c>
      <c r="C22" s="2" t="s">
        <v>0</v>
      </c>
      <c r="D22" s="2">
        <v>631629</v>
      </c>
    </row>
    <row r="23" spans="1:4" x14ac:dyDescent="0.25">
      <c r="A23" s="3" t="s">
        <v>13</v>
      </c>
      <c r="B23" s="2">
        <v>110</v>
      </c>
      <c r="C23" s="2" t="s">
        <v>3</v>
      </c>
      <c r="D23" s="2">
        <v>987018</v>
      </c>
    </row>
    <row r="24" spans="1:4" x14ac:dyDescent="0.25">
      <c r="A24" s="3" t="s">
        <v>13</v>
      </c>
      <c r="B24" s="2">
        <v>110</v>
      </c>
      <c r="C24" s="2" t="s">
        <v>1</v>
      </c>
      <c r="D24" s="2">
        <v>915862</v>
      </c>
    </row>
    <row r="25" spans="1:4" x14ac:dyDescent="0.25">
      <c r="A25" s="3" t="s">
        <v>13</v>
      </c>
      <c r="B25" s="2">
        <v>110</v>
      </c>
      <c r="C25" s="2" t="s">
        <v>2</v>
      </c>
      <c r="D25" s="2">
        <v>1000862</v>
      </c>
    </row>
    <row r="26" spans="1:4" x14ac:dyDescent="0.25">
      <c r="A26" s="3" t="s">
        <v>14</v>
      </c>
      <c r="B26" s="2">
        <v>130</v>
      </c>
      <c r="C26" s="2" t="s">
        <v>0</v>
      </c>
      <c r="D26" s="2">
        <v>1100000</v>
      </c>
    </row>
    <row r="27" spans="1:4" x14ac:dyDescent="0.25">
      <c r="A27" s="3" t="s">
        <v>14</v>
      </c>
      <c r="B27" s="2">
        <v>130</v>
      </c>
      <c r="C27" s="2" t="s">
        <v>3</v>
      </c>
      <c r="D27" s="2">
        <v>1540000</v>
      </c>
    </row>
    <row r="28" spans="1:4" x14ac:dyDescent="0.25">
      <c r="A28" s="3" t="s">
        <v>14</v>
      </c>
      <c r="B28" s="2">
        <v>130</v>
      </c>
      <c r="C28" s="2" t="s">
        <v>1</v>
      </c>
      <c r="D28" s="2">
        <v>1500000</v>
      </c>
    </row>
    <row r="29" spans="1:4" x14ac:dyDescent="0.25">
      <c r="A29" s="3" t="s">
        <v>14</v>
      </c>
      <c r="B29" s="2">
        <v>130</v>
      </c>
      <c r="C29" s="2" t="s">
        <v>2</v>
      </c>
      <c r="D29" s="2">
        <v>1600000</v>
      </c>
    </row>
    <row r="30" spans="1:4" x14ac:dyDescent="0.25">
      <c r="A30" s="3" t="s">
        <v>15</v>
      </c>
      <c r="B30" s="2">
        <v>140</v>
      </c>
      <c r="C30" s="2" t="s">
        <v>0</v>
      </c>
      <c r="D30" s="2">
        <v>1600000</v>
      </c>
    </row>
    <row r="31" spans="1:4" x14ac:dyDescent="0.25">
      <c r="A31" s="3" t="s">
        <v>15</v>
      </c>
      <c r="B31" s="2">
        <v>140</v>
      </c>
      <c r="C31" s="2" t="s">
        <v>3</v>
      </c>
      <c r="D31" s="2">
        <v>2300000</v>
      </c>
    </row>
    <row r="32" spans="1:4" x14ac:dyDescent="0.25">
      <c r="A32" s="3" t="s">
        <v>15</v>
      </c>
      <c r="B32" s="2">
        <v>140</v>
      </c>
      <c r="C32" s="2" t="s">
        <v>1</v>
      </c>
      <c r="D32" s="2">
        <v>2000000</v>
      </c>
    </row>
    <row r="33" spans="1:4" x14ac:dyDescent="0.25">
      <c r="A33" s="3" t="s">
        <v>15</v>
      </c>
      <c r="B33" s="2">
        <v>140</v>
      </c>
      <c r="C33" s="2" t="s">
        <v>2</v>
      </c>
      <c r="D33" s="2">
        <v>2200000</v>
      </c>
    </row>
    <row r="34" spans="1:4" x14ac:dyDescent="0.25">
      <c r="A34" s="3" t="s">
        <v>16</v>
      </c>
      <c r="B34" s="2">
        <v>150</v>
      </c>
      <c r="C34" s="2" t="s">
        <v>0</v>
      </c>
      <c r="D34" s="2">
        <v>1800000</v>
      </c>
    </row>
    <row r="35" spans="1:4" x14ac:dyDescent="0.25">
      <c r="A35" s="3" t="s">
        <v>16</v>
      </c>
      <c r="B35" s="2">
        <v>150</v>
      </c>
      <c r="C35" s="2" t="s">
        <v>3</v>
      </c>
      <c r="D35" s="2">
        <v>2600000</v>
      </c>
    </row>
    <row r="36" spans="1:4" x14ac:dyDescent="0.25">
      <c r="A36" s="3" t="s">
        <v>16</v>
      </c>
      <c r="B36" s="2">
        <v>150</v>
      </c>
      <c r="C36" s="2" t="s">
        <v>1</v>
      </c>
      <c r="D36" s="2">
        <v>2300000</v>
      </c>
    </row>
    <row r="37" spans="1:4" x14ac:dyDescent="0.25">
      <c r="A37" s="3" t="s">
        <v>16</v>
      </c>
      <c r="B37" s="2">
        <v>150</v>
      </c>
      <c r="C37" s="2" t="s">
        <v>2</v>
      </c>
      <c r="D37" s="2">
        <v>2500000</v>
      </c>
    </row>
    <row r="38" spans="1:4" x14ac:dyDescent="0.25">
      <c r="A38" s="3" t="s">
        <v>17</v>
      </c>
      <c r="B38" s="2">
        <v>160</v>
      </c>
      <c r="C38" s="2" t="s">
        <v>0</v>
      </c>
      <c r="D38" s="2">
        <v>2000000</v>
      </c>
    </row>
    <row r="39" spans="1:4" x14ac:dyDescent="0.25">
      <c r="A39" s="3" t="s">
        <v>17</v>
      </c>
      <c r="B39" s="2">
        <v>160</v>
      </c>
      <c r="C39" s="2" t="s">
        <v>3</v>
      </c>
      <c r="D39" s="2">
        <v>2800000</v>
      </c>
    </row>
    <row r="40" spans="1:4" x14ac:dyDescent="0.25">
      <c r="A40" s="3" t="s">
        <v>17</v>
      </c>
      <c r="B40" s="2">
        <v>160</v>
      </c>
      <c r="C40" s="2" t="s">
        <v>1</v>
      </c>
      <c r="D40" s="2">
        <v>2500000</v>
      </c>
    </row>
    <row r="41" spans="1:4" x14ac:dyDescent="0.25">
      <c r="A41" s="3" t="s">
        <v>17</v>
      </c>
      <c r="B41" s="2">
        <v>160</v>
      </c>
      <c r="C41" s="2" t="s">
        <v>2</v>
      </c>
      <c r="D41" s="2">
        <v>2700000</v>
      </c>
    </row>
    <row r="42" spans="1:4" x14ac:dyDescent="0.25">
      <c r="A42" s="3" t="s">
        <v>18</v>
      </c>
      <c r="B42" s="2">
        <v>180</v>
      </c>
      <c r="C42" s="2" t="s">
        <v>0</v>
      </c>
      <c r="D42" s="2">
        <v>2200000</v>
      </c>
    </row>
    <row r="43" spans="1:4" x14ac:dyDescent="0.25">
      <c r="A43" s="3" t="s">
        <v>18</v>
      </c>
      <c r="B43" s="2">
        <v>180</v>
      </c>
      <c r="C43" s="2" t="s">
        <v>3</v>
      </c>
      <c r="D43" s="2">
        <v>3100000</v>
      </c>
    </row>
    <row r="44" spans="1:4" x14ac:dyDescent="0.25">
      <c r="A44" s="3" t="s">
        <v>18</v>
      </c>
      <c r="B44" s="2">
        <v>180</v>
      </c>
      <c r="C44" s="2" t="s">
        <v>1</v>
      </c>
      <c r="D44" s="2">
        <v>2800000</v>
      </c>
    </row>
    <row r="45" spans="1:4" x14ac:dyDescent="0.25">
      <c r="A45" s="3" t="s">
        <v>18</v>
      </c>
      <c r="B45" s="2">
        <v>180</v>
      </c>
      <c r="C45" s="2" t="s">
        <v>2</v>
      </c>
      <c r="D45" s="2">
        <v>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Huu Truong Vu</cp:lastModifiedBy>
  <dcterms:created xsi:type="dcterms:W3CDTF">2025-05-29T14:28:01Z</dcterms:created>
  <dcterms:modified xsi:type="dcterms:W3CDTF">2025-08-17T14:06:38Z</dcterms:modified>
</cp:coreProperties>
</file>